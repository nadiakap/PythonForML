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e7d9eaf30fc32d/Documents/UConn_ENGR1166/"/>
    </mc:Choice>
  </mc:AlternateContent>
  <xr:revisionPtr revIDLastSave="1" documentId="8_{625D5C19-EAFA-425B-97BE-7BD20D5E4CFA}" xr6:coauthVersionLast="47" xr6:coauthVersionMax="47" xr10:uidLastSave="{EB049EB2-93A9-4FD7-8B59-45586AA10EEA}"/>
  <bookViews>
    <workbookView xWindow="-108" yWindow="-108" windowWidth="23256" windowHeight="13896" activeTab="1" xr2:uid="{A6BE4BE4-41F9-485D-91EC-658B1048AD09}"/>
  </bookViews>
  <sheets>
    <sheet name="Sensitivity Report 1" sheetId="4" r:id="rId1"/>
    <sheet name="Sheet1" sheetId="1" r:id="rId2"/>
    <sheet name="Sheet2" sheetId="2" r:id="rId3"/>
    <sheet name="Sheet3" sheetId="3" r:id="rId4"/>
  </sheets>
  <definedNames>
    <definedName name="solver_adj" localSheetId="1" hidden="1">Sheet1!$N$19:$N$22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100</definedName>
    <definedName name="solver_lhs1" localSheetId="1" hidden="1">Sheet1!$N$19:$N$21</definedName>
    <definedName name="solver_lhs2" localSheetId="1" hidden="1">Sheet1!$N$25:$N$28</definedName>
    <definedName name="solver_lhs3" localSheetId="1" hidden="1">Sheet1!$N$29</definedName>
    <definedName name="solver_lhs4" localSheetId="1" hidden="1">Sheet1!$N$28</definedName>
    <definedName name="solver_lhs5" localSheetId="1" hidden="1">Sheet1!$N$19:$N$21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Sheet1!$N$23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el5" localSheetId="1" hidden="1">3</definedName>
    <definedName name="solver_rhs1" localSheetId="1" hidden="1">0</definedName>
    <definedName name="solver_rhs2" localSheetId="1" hidden="1">Sheet1!$P$25:$P$28</definedName>
    <definedName name="solver_rhs3" localSheetId="1" hidden="1">Sheet1!$P$29</definedName>
    <definedName name="solver_rhs4" localSheetId="1" hidden="1">Sheet1!$P$28</definedName>
    <definedName name="solver_rhs5" localSheetId="1" hidden="1">0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1" l="1"/>
  <c r="N29" i="1"/>
  <c r="P28" i="1"/>
  <c r="Q17" i="1"/>
  <c r="P17" i="1"/>
  <c r="O17" i="1"/>
  <c r="Q16" i="1"/>
  <c r="P16" i="1"/>
  <c r="O16" i="1"/>
  <c r="Q15" i="1"/>
  <c r="N28" i="1"/>
  <c r="P15" i="1"/>
  <c r="N27" i="1"/>
  <c r="O15" i="1"/>
  <c r="N26" i="1"/>
  <c r="N17" i="1"/>
  <c r="N16" i="1"/>
  <c r="N15" i="1"/>
  <c r="N25" i="1"/>
  <c r="N23" i="1"/>
  <c r="P27" i="1"/>
  <c r="P26" i="1"/>
  <c r="P25" i="1"/>
</calcChain>
</file>

<file path=xl/sharedStrings.xml><?xml version="1.0" encoding="utf-8"?>
<sst xmlns="http://schemas.openxmlformats.org/spreadsheetml/2006/main" count="59" uniqueCount="47">
  <si>
    <t>2 - person zero - sum game</t>
  </si>
  <si>
    <t>payoff matrix</t>
  </si>
  <si>
    <t>--&gt;</t>
  </si>
  <si>
    <t>Microsoft Excel 10.0 Sensitivity Report</t>
  </si>
  <si>
    <t>Worksheet: [FingersGame.xls]Sheet1</t>
  </si>
  <si>
    <t>Report Created: 12/9/2010 12:45:21 PM</t>
  </si>
  <si>
    <t>Adjustable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</si>
  <si>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</si>
  <si>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</si>
  <si>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</si>
  <si>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</si>
  <si>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</si>
  <si>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</si>
  <si>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</si>
  <si>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</si>
  <si>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</si>
  <si>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</si>
  <si>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</si>
  <si>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</si>
  <si>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</si>
  <si>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</si>
  <si>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</si>
  <si>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</si>
  <si>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$N$19</t>
  </si>
  <si>
    <t>$N$20</t>
  </si>
  <si>
    <t>$N$21</t>
  </si>
  <si>
    <t>$N$22</t>
  </si>
  <si>
    <t>$N$28</t>
  </si>
  <si>
    <t>$N$25</t>
  </si>
  <si>
    <t>$N$26</t>
  </si>
  <si>
    <t>$N$27</t>
  </si>
  <si>
    <t>nature</t>
  </si>
  <si>
    <t>investor</t>
  </si>
  <si>
    <t>max</t>
  </si>
  <si>
    <t>&gt;</t>
  </si>
  <si>
    <t>investor has 100000 to invest in bonds,stocks or deposit</t>
  </si>
  <si>
    <t>bonds</t>
  </si>
  <si>
    <t>stocks</t>
  </si>
  <si>
    <t>growth</t>
  </si>
  <si>
    <t>no change</t>
  </si>
  <si>
    <t>low</t>
  </si>
  <si>
    <t xml:space="preserve">the matrix of historical returns (in%) is given </t>
  </si>
  <si>
    <t>investor plays a game against nature:</t>
  </si>
  <si>
    <t>under 4 possible  nature conditions find the best garanteed  investment strategy</t>
  </si>
  <si>
    <t>initial strategy</t>
  </si>
  <si>
    <t>deposit (MM)</t>
  </si>
  <si>
    <t>medium 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</si>
</sst>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color indexed="18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0" borderId="0" xfId="0" applyFont="1"/>
    <xf numFmtId="0" fontId="0" fillId="0" borderId="0" xfId="0" quotePrefix="1"/>
    <xf numFmtId="0" fontId="0" fillId="0" borderId="6" xfId="0" applyFill="1" applyBorder="1" applyAlignment="1"/>
    <xf numFmtId="0" fontId="0" fillId="0" borderId="7" xfId="0" applyFill="1" applyBorder="1" applyAlignment="1"/>
    <xf numFmtId="0" fontId="6" fillId="0" borderId="8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0" fillId="0" borderId="6" xfId="0" applyNumberFormat="1" applyFill="1" applyBorder="1" applyAlignment="1"/>
    <xf numFmtId="0" fontId="0" fillId="0" borderId="7" xfId="0" applyNumberFormat="1" applyFill="1" applyBorder="1" applyAlignment="1"/>
    <xf numFmtId="0" fontId="8" fillId="0" borderId="0" xfId="0" applyFont="1"/>
    <xf numFmtId="0" fontId="8" fillId="0" borderId="0" xfId="0" quotePrefix="1" applyFont="1"/>
    <xf numFmtId="0" fontId="7" fillId="0" borderId="0" xfId="0" applyFont="1"/>
    <xf numFmtId="0" fontId="5" fillId="6" borderId="1" xfId="0" applyFont="1" applyFill="1" applyBorder="1"/>
    <xf numFmtId="0" fontId="0" fillId="6" borderId="1" xfId="0" applyFill="1" applyBorder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BD02-FBF5-4432-918A-26B337E3B917}">
  <dimension ref="A1:H20"/>
  <sheetViews>
    <sheetView showGridLines="0" workbookViewId="0">
      <selection sqref="A1:A3"/>
    </sheetView>
  </sheetViews>
  <sheetFormatPr defaultRowHeight="13.2" x14ac:dyDescent="0.25"/>
  <cols>
    <col min="1" max="1" width="2.33203125" customWidth="1"/>
    <col min="2" max="2" width="6.33203125" bestFit="1" customWidth="1"/>
    <col min="3" max="4" width="6.33203125" customWidth="1"/>
    <col min="5" max="5" width="9" bestFit="1" customWidth="1"/>
    <col min="6" max="6" width="10.6640625" bestFit="1" customWidth="1"/>
    <col min="7" max="8" width="12" bestFit="1" customWidth="1"/>
  </cols>
  <sheetData>
    <row r="1" spans="1:8" x14ac:dyDescent="0.25">
      <c r="A1" s="9" t="s">
        <v>3</v>
      </c>
    </row>
    <row r="2" spans="1:8" x14ac:dyDescent="0.25">
      <c r="A2" s="9" t="s">
        <v>4</v>
      </c>
    </row>
    <row r="3" spans="1:8" x14ac:dyDescent="0.25">
      <c r="A3" s="9" t="s">
        <v>5</v>
      </c>
    </row>
    <row r="6" spans="1:8" ht="13.8" thickBot="1" x14ac:dyDescent="0.3">
      <c r="A6" t="s">
        <v>6</v>
      </c>
    </row>
    <row r="7" spans="1:8" x14ac:dyDescent="0.25">
      <c r="B7" s="16"/>
      <c r="C7" s="16"/>
      <c r="D7" s="16" t="s">
        <v>9</v>
      </c>
      <c r="E7" s="16" t="s">
        <v>11</v>
      </c>
      <c r="F7" s="16" t="s">
        <v>13</v>
      </c>
      <c r="G7" s="16" t="s">
        <v>15</v>
      </c>
      <c r="H7" s="16" t="s">
        <v>15</v>
      </c>
    </row>
    <row r="8" spans="1:8" ht="13.8" thickBot="1" x14ac:dyDescent="0.3">
      <c r="B8" s="17" t="s">
        <v>7</v>
      </c>
      <c r="C8" s="17" t="s">
        <v>8</v>
      </c>
      <c r="D8" s="17" t="s">
        <v>10</v>
      </c>
      <c r="E8" s="17" t="s">
        <v>12</v>
      </c>
      <c r="F8" s="17" t="s">
        <v>14</v>
      </c>
      <c r="G8" s="17" t="s">
        <v>16</v>
      </c>
      <c r="H8" s="17" t="s">
        <v>17</v>
      </c>
    </row>
    <row r="9" spans="1:8" x14ac:dyDescent="0.25">
      <c r="B9" s="14" t="s">
        <v>23</v>
      </c>
      <c r="C9" s="14"/>
      <c r="D9" s="18">
        <v>0.25</v>
      </c>
      <c r="E9" s="18">
        <v>0</v>
      </c>
      <c r="F9" s="14">
        <v>0</v>
      </c>
      <c r="G9" s="14">
        <v>0.24999999997102051</v>
      </c>
      <c r="H9" s="14">
        <v>0.20000000002452914</v>
      </c>
    </row>
    <row r="10" spans="1:8" x14ac:dyDescent="0.25">
      <c r="B10" s="14" t="s">
        <v>24</v>
      </c>
      <c r="C10" s="14"/>
      <c r="D10" s="18">
        <v>0.5</v>
      </c>
      <c r="E10" s="18">
        <v>0</v>
      </c>
      <c r="F10" s="14">
        <v>0</v>
      </c>
      <c r="G10" s="14">
        <v>1.0000000001165423</v>
      </c>
      <c r="H10" s="14">
        <v>0.99999999988122745</v>
      </c>
    </row>
    <row r="11" spans="1:8" x14ac:dyDescent="0.25">
      <c r="B11" s="14" t="s">
        <v>25</v>
      </c>
      <c r="C11" s="14"/>
      <c r="D11" s="18">
        <v>0.25</v>
      </c>
      <c r="E11" s="18">
        <v>0</v>
      </c>
      <c r="F11" s="14">
        <v>0</v>
      </c>
      <c r="G11" s="14">
        <v>0.25000000003116862</v>
      </c>
      <c r="H11" s="14">
        <v>0.33333333329523451</v>
      </c>
    </row>
    <row r="12" spans="1:8" ht="13.8" thickBot="1" x14ac:dyDescent="0.3">
      <c r="B12" s="15" t="s">
        <v>26</v>
      </c>
      <c r="C12" s="15"/>
      <c r="D12" s="19">
        <v>6</v>
      </c>
      <c r="E12" s="19">
        <v>0</v>
      </c>
      <c r="F12" s="15">
        <v>1.0000000000005382</v>
      </c>
      <c r="G12" s="15">
        <v>1E+30</v>
      </c>
      <c r="H12" s="15">
        <v>1.0000000000005382</v>
      </c>
    </row>
    <row r="14" spans="1:8" ht="13.8" thickBot="1" x14ac:dyDescent="0.3">
      <c r="A14" t="s">
        <v>18</v>
      </c>
    </row>
    <row r="15" spans="1:8" x14ac:dyDescent="0.25">
      <c r="B15" s="16"/>
      <c r="C15" s="16"/>
      <c r="D15" s="16" t="s">
        <v>9</v>
      </c>
      <c r="E15" s="16" t="s">
        <v>19</v>
      </c>
      <c r="F15" s="16" t="s">
        <v>21</v>
      </c>
      <c r="G15" s="16" t="s">
        <v>15</v>
      </c>
      <c r="H15" s="16" t="s">
        <v>15</v>
      </c>
    </row>
    <row r="16" spans="1:8" ht="13.8" thickBot="1" x14ac:dyDescent="0.3">
      <c r="B16" s="17" t="s">
        <v>7</v>
      </c>
      <c r="C16" s="17" t="s">
        <v>8</v>
      </c>
      <c r="D16" s="17" t="s">
        <v>10</v>
      </c>
      <c r="E16" s="17" t="s">
        <v>20</v>
      </c>
      <c r="F16" s="17" t="s">
        <v>22</v>
      </c>
      <c r="G16" s="17" t="s">
        <v>16</v>
      </c>
      <c r="H16" s="17" t="s">
        <v>17</v>
      </c>
    </row>
    <row r="17" spans="2:8" x14ac:dyDescent="0.25">
      <c r="B17" s="14" t="s">
        <v>27</v>
      </c>
      <c r="C17" s="14"/>
      <c r="D17" s="18">
        <v>1</v>
      </c>
      <c r="E17" s="18">
        <v>5.9999999999888978</v>
      </c>
      <c r="F17" s="14">
        <v>1</v>
      </c>
      <c r="G17" s="14">
        <v>1E+30</v>
      </c>
      <c r="H17" s="14">
        <v>0.99999999998578626</v>
      </c>
    </row>
    <row r="18" spans="2:8" x14ac:dyDescent="0.25">
      <c r="B18" s="14" t="s">
        <v>28</v>
      </c>
      <c r="C18" s="14"/>
      <c r="D18" s="18">
        <v>6</v>
      </c>
      <c r="E18" s="18">
        <v>-0.25000000003329964</v>
      </c>
      <c r="F18" s="14">
        <v>0</v>
      </c>
      <c r="G18" s="14">
        <v>0.19999999999788934</v>
      </c>
      <c r="H18" s="14">
        <v>0.24999999999786926</v>
      </c>
    </row>
    <row r="19" spans="2:8" x14ac:dyDescent="0.25">
      <c r="B19" s="14" t="s">
        <v>29</v>
      </c>
      <c r="C19" s="14"/>
      <c r="D19" s="18">
        <v>6</v>
      </c>
      <c r="E19" s="18">
        <v>-0.49999999999334005</v>
      </c>
      <c r="F19" s="14">
        <v>0</v>
      </c>
      <c r="G19" s="14">
        <v>0.99999999998911782</v>
      </c>
      <c r="H19" s="14">
        <v>0.99999999998467226</v>
      </c>
    </row>
    <row r="20" spans="2:8" ht="13.8" thickBot="1" x14ac:dyDescent="0.3">
      <c r="B20" s="15" t="s">
        <v>30</v>
      </c>
      <c r="C20" s="15"/>
      <c r="D20" s="19">
        <v>6</v>
      </c>
      <c r="E20" s="19">
        <v>-0.24999999997336031</v>
      </c>
      <c r="F20" s="15">
        <v>0</v>
      </c>
      <c r="G20" s="15">
        <v>0.33333333333075449</v>
      </c>
      <c r="H20" s="15">
        <v>0.24999999999766009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83B91-F965-4AB5-B203-F0AB84D4AF32}">
  <dimension ref="A2:Q1579"/>
  <sheetViews>
    <sheetView tabSelected="1" zoomScale="170" zoomScaleNormal="170" workbookViewId="0">
      <selection activeCell="N16" sqref="N16"/>
    </sheetView>
  </sheetViews>
  <sheetFormatPr defaultRowHeight="13.2" x14ac:dyDescent="0.25"/>
  <cols>
    <col min="2" max="2" width="10.5546875" customWidth="1"/>
    <col min="3" max="3" width="6.88671875" customWidth="1"/>
    <col min="4" max="4" width="8.6640625" customWidth="1"/>
    <col min="5" max="5" width="8.5546875" customWidth="1"/>
    <col min="6" max="6" width="6.6640625" customWidth="1"/>
    <col min="7" max="7" width="7.109375" customWidth="1"/>
    <col min="12" max="12" width="11.33203125" customWidth="1"/>
    <col min="13" max="13" width="1.88671875" customWidth="1"/>
  </cols>
  <sheetData>
    <row r="2" spans="1:17" ht="15.6" x14ac:dyDescent="0.3">
      <c r="G2" s="10" t="s">
        <v>0</v>
      </c>
    </row>
    <row r="4" spans="1:17" x14ac:dyDescent="0.25">
      <c r="C4" s="9" t="s">
        <v>1</v>
      </c>
    </row>
    <row r="5" spans="1:17" x14ac:dyDescent="0.25">
      <c r="C5" s="22"/>
      <c r="D5" s="22"/>
      <c r="E5" s="22"/>
      <c r="F5" s="22"/>
      <c r="G5" s="12" t="s">
        <v>42</v>
      </c>
      <c r="H5" s="12"/>
      <c r="I5" s="12"/>
      <c r="J5" s="12"/>
    </row>
    <row r="6" spans="1:17" x14ac:dyDescent="0.25">
      <c r="C6" s="6" t="s">
        <v>31</v>
      </c>
      <c r="D6" s="7"/>
      <c r="E6" s="7"/>
      <c r="F6" s="8"/>
      <c r="G6" s="12" t="s">
        <v>35</v>
      </c>
      <c r="H6" s="12"/>
      <c r="I6" s="12"/>
      <c r="J6" s="12"/>
    </row>
    <row r="7" spans="1:17" x14ac:dyDescent="0.25">
      <c r="B7" s="3" t="s">
        <v>32</v>
      </c>
      <c r="C7" s="5" t="s">
        <v>38</v>
      </c>
      <c r="D7" s="5" t="s">
        <v>46</v>
      </c>
      <c r="E7" s="5" t="s">
        <v>39</v>
      </c>
      <c r="F7" s="5" t="s">
        <v>40</v>
      </c>
      <c r="H7" s="12"/>
      <c r="I7" s="12"/>
      <c r="J7" s="12"/>
    </row>
    <row r="8" spans="1:17" x14ac:dyDescent="0.25">
      <c r="A8" s="22"/>
      <c r="B8" s="4" t="s">
        <v>36</v>
      </c>
      <c r="C8" s="1">
        <v>12</v>
      </c>
      <c r="D8" s="1">
        <v>8</v>
      </c>
      <c r="E8" s="1">
        <v>7</v>
      </c>
      <c r="F8" s="1">
        <v>3</v>
      </c>
      <c r="G8" s="12" t="s">
        <v>41</v>
      </c>
      <c r="H8" s="12"/>
      <c r="I8" s="12"/>
      <c r="J8" s="12"/>
    </row>
    <row r="9" spans="1:17" x14ac:dyDescent="0.25">
      <c r="A9" s="22"/>
      <c r="B9" s="4" t="s">
        <v>37</v>
      </c>
      <c r="C9" s="1">
        <v>15</v>
      </c>
      <c r="D9" s="1">
        <v>9</v>
      </c>
      <c r="E9" s="1">
        <v>5</v>
      </c>
      <c r="F9" s="1">
        <v>-2</v>
      </c>
      <c r="G9" s="12" t="s">
        <v>43</v>
      </c>
    </row>
    <row r="10" spans="1:17" x14ac:dyDescent="0.25">
      <c r="A10" s="22"/>
      <c r="B10" s="4" t="s">
        <v>45</v>
      </c>
      <c r="C10" s="1">
        <v>7</v>
      </c>
      <c r="D10" s="1">
        <v>7</v>
      </c>
      <c r="E10" s="1">
        <v>7</v>
      </c>
      <c r="F10" s="1">
        <v>7</v>
      </c>
    </row>
    <row r="11" spans="1:17" x14ac:dyDescent="0.25">
      <c r="G11" s="9"/>
    </row>
    <row r="12" spans="1:17" ht="17.399999999999999" x14ac:dyDescent="0.3">
      <c r="F12" s="12"/>
      <c r="G12" s="23"/>
    </row>
    <row r="13" spans="1:17" x14ac:dyDescent="0.25">
      <c r="F13" s="12"/>
      <c r="G13" s="24"/>
    </row>
    <row r="14" spans="1:17" x14ac:dyDescent="0.25">
      <c r="F14" s="12"/>
      <c r="G14" s="25"/>
    </row>
    <row r="15" spans="1:17" ht="17.399999999999999" x14ac:dyDescent="0.3">
      <c r="F15" s="12"/>
      <c r="G15" s="23"/>
      <c r="H15" s="11"/>
      <c r="N15">
        <f>C8</f>
        <v>12</v>
      </c>
      <c r="O15">
        <f t="shared" ref="O15:Q17" si="0">D8</f>
        <v>8</v>
      </c>
      <c r="P15">
        <f t="shared" si="0"/>
        <v>7</v>
      </c>
      <c r="Q15">
        <f t="shared" si="0"/>
        <v>3</v>
      </c>
    </row>
    <row r="16" spans="1:17" x14ac:dyDescent="0.25">
      <c r="N16">
        <f>C9</f>
        <v>15</v>
      </c>
      <c r="O16">
        <f t="shared" si="0"/>
        <v>9</v>
      </c>
      <c r="P16">
        <f t="shared" si="0"/>
        <v>5</v>
      </c>
      <c r="Q16">
        <f t="shared" si="0"/>
        <v>-2</v>
      </c>
    </row>
    <row r="17" spans="7:17" x14ac:dyDescent="0.25">
      <c r="J17">
        <f>C10*N19+D10*N20+E10*N21</f>
        <v>7</v>
      </c>
      <c r="N17">
        <f>C10</f>
        <v>7</v>
      </c>
      <c r="O17">
        <f t="shared" si="0"/>
        <v>7</v>
      </c>
      <c r="P17">
        <f t="shared" si="0"/>
        <v>7</v>
      </c>
      <c r="Q17">
        <f t="shared" si="0"/>
        <v>7</v>
      </c>
    </row>
    <row r="18" spans="7:17" x14ac:dyDescent="0.25">
      <c r="G18" s="2"/>
    </row>
    <row r="19" spans="7:17" x14ac:dyDescent="0.25">
      <c r="G19" s="2"/>
      <c r="L19" s="22" t="s">
        <v>44</v>
      </c>
      <c r="N19" s="2">
        <v>0</v>
      </c>
    </row>
    <row r="20" spans="7:17" x14ac:dyDescent="0.25">
      <c r="G20" s="2"/>
      <c r="N20" s="2">
        <v>0</v>
      </c>
    </row>
    <row r="21" spans="7:17" x14ac:dyDescent="0.25">
      <c r="G21" s="2"/>
      <c r="N21" s="2">
        <v>1</v>
      </c>
    </row>
    <row r="22" spans="7:17" x14ac:dyDescent="0.25">
      <c r="G22" s="2"/>
      <c r="N22" s="2">
        <v>7</v>
      </c>
      <c r="O22" s="13"/>
    </row>
    <row r="23" spans="7:17" x14ac:dyDescent="0.25">
      <c r="G23" s="2"/>
      <c r="N23">
        <f>N22</f>
        <v>7</v>
      </c>
      <c r="O23" s="13" t="s">
        <v>2</v>
      </c>
      <c r="P23" s="20" t="s">
        <v>33</v>
      </c>
    </row>
    <row r="24" spans="7:17" x14ac:dyDescent="0.25">
      <c r="G24" s="2"/>
    </row>
    <row r="25" spans="7:17" x14ac:dyDescent="0.25">
      <c r="G25" s="2"/>
      <c r="N25">
        <f>N19*N15+N20*N16+N21*N17</f>
        <v>7</v>
      </c>
      <c r="O25" s="20" t="s">
        <v>34</v>
      </c>
      <c r="P25">
        <f>N22</f>
        <v>7</v>
      </c>
    </row>
    <row r="26" spans="7:17" x14ac:dyDescent="0.25">
      <c r="G26" s="2"/>
      <c r="N26">
        <f>N19*O15+N20*O16+N21*O17</f>
        <v>7</v>
      </c>
      <c r="O26" s="20" t="s">
        <v>34</v>
      </c>
      <c r="P26">
        <f>N22</f>
        <v>7</v>
      </c>
    </row>
    <row r="27" spans="7:17" x14ac:dyDescent="0.25">
      <c r="G27" s="2"/>
      <c r="N27">
        <f>P15*N19+P16*N20+N21*P17</f>
        <v>7</v>
      </c>
      <c r="O27" s="20" t="s">
        <v>34</v>
      </c>
      <c r="P27">
        <f>N22</f>
        <v>7</v>
      </c>
    </row>
    <row r="28" spans="7:17" x14ac:dyDescent="0.25">
      <c r="G28" s="2"/>
      <c r="N28">
        <f>Q15*N19+Q16*N20+Q17*P17</f>
        <v>49</v>
      </c>
      <c r="O28" s="21" t="s">
        <v>34</v>
      </c>
      <c r="P28">
        <f>N22</f>
        <v>7</v>
      </c>
    </row>
    <row r="29" spans="7:17" x14ac:dyDescent="0.25">
      <c r="G29" s="2"/>
      <c r="N29">
        <f>N19+N20+N21</f>
        <v>1</v>
      </c>
      <c r="P29">
        <v>1</v>
      </c>
    </row>
    <row r="30" spans="7:17" x14ac:dyDescent="0.25">
      <c r="G30" s="2"/>
    </row>
    <row r="31" spans="7:17" x14ac:dyDescent="0.25">
      <c r="G31" s="2"/>
    </row>
    <row r="32" spans="7:1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  <row r="37" spans="7:7" x14ac:dyDescent="0.25">
      <c r="G37" s="2"/>
    </row>
    <row r="38" spans="7:7" x14ac:dyDescent="0.25">
      <c r="G38" s="2"/>
    </row>
    <row r="39" spans="7:7" x14ac:dyDescent="0.25">
      <c r="G39" s="2"/>
    </row>
    <row r="40" spans="7:7" x14ac:dyDescent="0.25">
      <c r="G40" s="2"/>
    </row>
    <row r="41" spans="7:7" x14ac:dyDescent="0.25">
      <c r="G41" s="2"/>
    </row>
    <row r="42" spans="7:7" x14ac:dyDescent="0.25">
      <c r="G42" s="2"/>
    </row>
    <row r="43" spans="7:7" x14ac:dyDescent="0.25">
      <c r="G43" s="2"/>
    </row>
    <row r="44" spans="7:7" x14ac:dyDescent="0.25">
      <c r="G44" s="2"/>
    </row>
    <row r="45" spans="7:7" x14ac:dyDescent="0.25">
      <c r="G45" s="2"/>
    </row>
    <row r="46" spans="7:7" x14ac:dyDescent="0.25">
      <c r="G46" s="2"/>
    </row>
    <row r="47" spans="7:7" x14ac:dyDescent="0.25">
      <c r="G47" s="2"/>
    </row>
    <row r="48" spans="7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F1B2B-3EB8-4F29-8FA3-F8320CC181F0}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05453-4461-4FBC-860E-163EC8541579}"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Sensitivity Report 1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nadia</dc:creator>
  <cp:lastModifiedBy>nadiau7@outlook.com</cp:lastModifiedBy>
  <dcterms:created xsi:type="dcterms:W3CDTF">2010-11-28T00:05:13Z</dcterms:created>
  <dcterms:modified xsi:type="dcterms:W3CDTF">2026-01-28T02:05:08Z</dcterms:modified>
</cp:coreProperties>
</file>